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lyn\dev\projet_tricot_web\prototype\Notes\"/>
    </mc:Choice>
  </mc:AlternateContent>
  <xr:revisionPtr revIDLastSave="0" documentId="13_ncr:1_{D0AA0E18-3D75-4488-AF9C-1AE696ADA9FC}" xr6:coauthVersionLast="47" xr6:coauthVersionMax="47" xr10:uidLastSave="{00000000-0000-0000-0000-000000000000}"/>
  <bookViews>
    <workbookView xWindow="25650" yWindow="-60" windowWidth="26040" windowHeight="21045" activeTab="2" xr2:uid="{63A3D2C4-7B95-43DB-A1D3-269E8ADEE2B1}"/>
  </bookViews>
  <sheets>
    <sheet name="calcul mailles par tuiles" sheetId="1" r:id="rId1"/>
    <sheet name="compatibilité des motifs" sheetId="2" r:id="rId2"/>
    <sheet name="CoefficientsMotif" sheetId="3" r:id="rId3"/>
    <sheet name="Couver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G6" i="3"/>
  <c r="H3" i="3"/>
  <c r="G3" i="3"/>
  <c r="F2" i="4"/>
  <c r="E2" i="4"/>
  <c r="D2" i="4"/>
  <c r="C2" i="4"/>
  <c r="G4" i="3"/>
  <c r="H4" i="3"/>
  <c r="G5" i="3"/>
  <c r="H5" i="3"/>
  <c r="G7" i="3"/>
  <c r="H7" i="3"/>
  <c r="G8" i="3"/>
  <c r="H8" i="3"/>
  <c r="G9" i="3"/>
  <c r="H9" i="3"/>
  <c r="G10" i="3"/>
  <c r="H10" i="3"/>
  <c r="G11" i="3"/>
  <c r="H11" i="3"/>
  <c r="G12" i="3"/>
  <c r="H12" i="3"/>
  <c r="D10" i="2"/>
  <c r="E10" i="2"/>
  <c r="F10" i="2" s="1"/>
  <c r="D9" i="2"/>
  <c r="E9" i="2"/>
  <c r="F9" i="2" s="1"/>
  <c r="D8" i="2"/>
  <c r="E8" i="2"/>
  <c r="F8" i="2" s="1"/>
  <c r="F7" i="2"/>
  <c r="D7" i="2"/>
  <c r="E7" i="2"/>
  <c r="F6" i="2"/>
  <c r="D6" i="2"/>
  <c r="E6" i="2"/>
  <c r="D5" i="2"/>
  <c r="E5" i="2"/>
  <c r="F5" i="2" s="1"/>
  <c r="D4" i="2"/>
  <c r="E4" i="2"/>
  <c r="F4" i="2"/>
  <c r="F3" i="2"/>
  <c r="F2" i="2"/>
  <c r="E3" i="2"/>
  <c r="E2" i="2"/>
  <c r="D3" i="2"/>
  <c r="D2" i="2"/>
  <c r="E8" i="1"/>
  <c r="C8" i="1"/>
  <c r="C3" i="1"/>
  <c r="C4" i="1"/>
  <c r="C5" i="1"/>
  <c r="C6" i="1"/>
  <c r="C2" i="1"/>
  <c r="E2" i="1" s="1"/>
  <c r="C7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<sst xmlns="http://schemas.openxmlformats.org/spreadsheetml/2006/main" count="61" uniqueCount="42">
  <si>
    <t>mailles par cm</t>
  </si>
  <si>
    <t>largeur tuile</t>
  </si>
  <si>
    <t>mailles tuile</t>
  </si>
  <si>
    <t>mailles echantillon</t>
  </si>
  <si>
    <t>largeur échantillon</t>
  </si>
  <si>
    <t>mailles de la tuile</t>
  </si>
  <si>
    <t>mailles réptétées</t>
  </si>
  <si>
    <t>mailles ajoutées</t>
  </si>
  <si>
    <t>compatible ?</t>
  </si>
  <si>
    <t>reste</t>
  </si>
  <si>
    <t>répétiton</t>
  </si>
  <si>
    <t>Wide Rib</t>
  </si>
  <si>
    <t>Mock Rib</t>
  </si>
  <si>
    <t>Seed Stitch</t>
  </si>
  <si>
    <t>Moss Stitch</t>
  </si>
  <si>
    <t>TV Static</t>
  </si>
  <si>
    <t>Jersey</t>
  </si>
  <si>
    <t>Oui</t>
  </si>
  <si>
    <t>oui</t>
  </si>
  <si>
    <t>Non</t>
  </si>
  <si>
    <t>Mousse</t>
  </si>
  <si>
    <t>Motif</t>
  </si>
  <si>
    <t>Page</t>
  </si>
  <si>
    <t>Nb mailles</t>
  </si>
  <si>
    <t>Nb Rangs</t>
  </si>
  <si>
    <t>Coefficient horizontal</t>
  </si>
  <si>
    <t>Coefficient vertical</t>
  </si>
  <si>
    <t>na</t>
  </si>
  <si>
    <t>Seed blocks</t>
  </si>
  <si>
    <t>Moss Diamonds</t>
  </si>
  <si>
    <t>Seeded Windowpane</t>
  </si>
  <si>
    <t>Single Basketweave</t>
  </si>
  <si>
    <t>Chevron Rib</t>
  </si>
  <si>
    <t>Crossing paths</t>
  </si>
  <si>
    <t>largeur</t>
  </si>
  <si>
    <t>hauteur</t>
  </si>
  <si>
    <t>cote</t>
  </si>
  <si>
    <t>nombre largeur</t>
  </si>
  <si>
    <t>nombre hauteur</t>
  </si>
  <si>
    <t>nb_tuile</t>
  </si>
  <si>
    <t>Largeur</t>
  </si>
  <si>
    <t>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</si>
</sst>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4" fillId="2" borderId="4" xfId="0" applyNumberFormat="1" applyFont="1" applyFill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41B5-F5DE-488C-B753-68849A04BEB2}">
  <dimension ref="A1:E8"/>
  <sheetViews>
    <sheetView workbookViewId="0">
      <selection activeCell="H25" sqref="H25"/>
    </sheetView>
  </sheetViews>
  <sheetFormatPr defaultRowHeight="15" x14ac:dyDescent="0.25"/>
  <cols>
    <col min="1" max="2" width="27.5703125" customWidth="1"/>
    <col min="3" max="3" width="18.42578125" bestFit="1" customWidth="1"/>
    <col min="4" max="4" width="19.140625" bestFit="1" customWidth="1"/>
    <col min="5" max="5" width="11.85546875" bestFit="1" customWidth="1"/>
  </cols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>
        <v>10</v>
      </c>
      <c r="B2">
        <v>10</v>
      </c>
      <c r="C2">
        <f>A2/B2</f>
        <v>1</v>
      </c>
      <c r="D2">
        <v>10</v>
      </c>
      <c r="E2">
        <f>C2*D2</f>
        <v>10</v>
      </c>
    </row>
    <row r="3" spans="1:5" x14ac:dyDescent="0.25">
      <c r="A3">
        <v>10</v>
      </c>
      <c r="B3">
        <v>10</v>
      </c>
      <c r="C3">
        <f t="shared" ref="C3:C6" si="0">A3/B3</f>
        <v>1</v>
      </c>
      <c r="D3">
        <v>100</v>
      </c>
      <c r="E3">
        <f>C3*D3</f>
        <v>100</v>
      </c>
    </row>
    <row r="4" spans="1:5" x14ac:dyDescent="0.25">
      <c r="A4" s="11">
        <v>10</v>
      </c>
      <c r="B4" s="11">
        <v>20</v>
      </c>
      <c r="C4" s="11">
        <f t="shared" si="0"/>
        <v>0.5</v>
      </c>
      <c r="D4" s="11">
        <v>10</v>
      </c>
      <c r="E4" s="11">
        <f>_xlfn.CEILING.MATH(C4*D4)</f>
        <v>5</v>
      </c>
    </row>
    <row r="5" spans="1:5" x14ac:dyDescent="0.25">
      <c r="A5">
        <v>10</v>
      </c>
      <c r="B5">
        <v>20</v>
      </c>
      <c r="C5">
        <f t="shared" si="0"/>
        <v>0.5</v>
      </c>
      <c r="D5">
        <v>13</v>
      </c>
      <c r="E5">
        <f>_xlfn.CEILING.MATH(C5*D5)</f>
        <v>7</v>
      </c>
    </row>
    <row r="6" spans="1:5" x14ac:dyDescent="0.25">
      <c r="A6">
        <v>10</v>
      </c>
      <c r="B6">
        <v>9</v>
      </c>
      <c r="C6">
        <f t="shared" si="0"/>
        <v>1.1111111111111112</v>
      </c>
      <c r="D6">
        <v>10</v>
      </c>
      <c r="E6">
        <f>_xlfn.CEILING.MATH(C6*D6)</f>
        <v>12</v>
      </c>
    </row>
    <row r="7" spans="1:5" x14ac:dyDescent="0.25">
      <c r="A7" s="11">
        <v>100</v>
      </c>
      <c r="B7" s="11">
        <v>15</v>
      </c>
      <c r="C7" s="11">
        <f>A7/B7</f>
        <v>6.666666666666667</v>
      </c>
      <c r="D7" s="11">
        <v>20</v>
      </c>
      <c r="E7" s="11">
        <f>_xlfn.CEILING.MATH(C7*D7)</f>
        <v>134</v>
      </c>
    </row>
    <row r="8" spans="1:5" x14ac:dyDescent="0.25">
      <c r="A8">
        <v>20</v>
      </c>
      <c r="B8">
        <v>10</v>
      </c>
      <c r="C8">
        <f>A8/B8</f>
        <v>2</v>
      </c>
      <c r="D8">
        <v>10</v>
      </c>
      <c r="E8">
        <f>_xlfn.CEILING.MATH(C8*D8)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D453-3C31-4203-A2F8-D934ED3C377B}">
  <dimension ref="A1:O10"/>
  <sheetViews>
    <sheetView workbookViewId="0">
      <selection activeCell="J12" sqref="J12"/>
    </sheetView>
  </sheetViews>
  <sheetFormatPr defaultRowHeight="15" x14ac:dyDescent="0.25"/>
  <cols>
    <col min="1" max="1" width="16.7109375" bestFit="1" customWidth="1"/>
    <col min="2" max="2" width="16.140625" bestFit="1" customWidth="1"/>
    <col min="3" max="3" width="15.7109375" bestFit="1" customWidth="1"/>
    <col min="4" max="4" width="12.42578125" bestFit="1" customWidth="1"/>
    <col min="6" max="6" width="12.42578125" bestFit="1" customWidth="1"/>
    <col min="8" max="8" width="16.7109375" bestFit="1" customWidth="1"/>
    <col min="9" max="9" width="15.28515625" bestFit="1" customWidth="1"/>
    <col min="13" max="13" width="10.42578125" bestFit="1" customWidth="1"/>
    <col min="14" max="14" width="11" bestFit="1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10</v>
      </c>
      <c r="E1" t="s">
        <v>9</v>
      </c>
      <c r="F1" t="s">
        <v>8</v>
      </c>
      <c r="H1" t="s">
        <v>5</v>
      </c>
      <c r="I1" t="s">
        <v>16</v>
      </c>
      <c r="J1" t="s">
        <v>20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>
        <v>100</v>
      </c>
      <c r="B2">
        <v>10</v>
      </c>
      <c r="C2">
        <v>0</v>
      </c>
      <c r="D2">
        <f t="shared" ref="D2:D10" si="0">QUOTIENT(A2,B2)</f>
        <v>10</v>
      </c>
      <c r="E2">
        <f t="shared" ref="E2:E10" si="1">MOD(A2,B2)</f>
        <v>0</v>
      </c>
      <c r="F2" t="b">
        <f t="shared" ref="F2:F10" si="2">E2=C2</f>
        <v>1</v>
      </c>
      <c r="H2">
        <v>100</v>
      </c>
      <c r="I2" t="s">
        <v>17</v>
      </c>
      <c r="J2" t="s">
        <v>18</v>
      </c>
      <c r="N2" t="s">
        <v>18</v>
      </c>
    </row>
    <row r="3" spans="1:15" x14ac:dyDescent="0.25">
      <c r="A3">
        <v>100</v>
      </c>
      <c r="B3">
        <v>11</v>
      </c>
      <c r="C3">
        <v>0</v>
      </c>
      <c r="D3">
        <f t="shared" si="0"/>
        <v>9</v>
      </c>
      <c r="E3">
        <f t="shared" si="1"/>
        <v>1</v>
      </c>
      <c r="F3" t="b">
        <f t="shared" si="2"/>
        <v>0</v>
      </c>
      <c r="H3">
        <v>101</v>
      </c>
      <c r="I3" t="s">
        <v>17</v>
      </c>
      <c r="J3" t="s">
        <v>17</v>
      </c>
      <c r="K3" t="s">
        <v>19</v>
      </c>
      <c r="L3" t="s">
        <v>17</v>
      </c>
      <c r="M3" t="s">
        <v>17</v>
      </c>
    </row>
    <row r="4" spans="1:15" x14ac:dyDescent="0.25">
      <c r="A4">
        <v>50</v>
      </c>
      <c r="B4">
        <v>10</v>
      </c>
      <c r="C4">
        <v>1</v>
      </c>
      <c r="D4">
        <f t="shared" si="0"/>
        <v>5</v>
      </c>
      <c r="E4">
        <f t="shared" si="1"/>
        <v>0</v>
      </c>
      <c r="F4" t="b">
        <f t="shared" si="2"/>
        <v>0</v>
      </c>
      <c r="H4">
        <v>105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19</v>
      </c>
      <c r="O4" t="s">
        <v>19</v>
      </c>
    </row>
    <row r="5" spans="1:15" x14ac:dyDescent="0.25">
      <c r="A5">
        <v>10</v>
      </c>
      <c r="B5">
        <v>12</v>
      </c>
      <c r="C5">
        <v>0</v>
      </c>
      <c r="D5">
        <f t="shared" si="0"/>
        <v>0</v>
      </c>
      <c r="E5">
        <f t="shared" si="1"/>
        <v>10</v>
      </c>
      <c r="F5" t="b">
        <f t="shared" si="2"/>
        <v>0</v>
      </c>
    </row>
    <row r="6" spans="1:15" x14ac:dyDescent="0.25">
      <c r="A6">
        <v>10</v>
      </c>
      <c r="B6">
        <v>10</v>
      </c>
      <c r="C6">
        <v>0</v>
      </c>
      <c r="D6">
        <f t="shared" si="0"/>
        <v>1</v>
      </c>
      <c r="E6">
        <f t="shared" si="1"/>
        <v>0</v>
      </c>
      <c r="F6" t="b">
        <f t="shared" si="2"/>
        <v>1</v>
      </c>
    </row>
    <row r="7" spans="1:15" x14ac:dyDescent="0.25">
      <c r="A7">
        <v>10</v>
      </c>
      <c r="B7">
        <v>10</v>
      </c>
      <c r="C7">
        <v>1</v>
      </c>
      <c r="D7">
        <f t="shared" si="0"/>
        <v>1</v>
      </c>
      <c r="E7">
        <f t="shared" si="1"/>
        <v>0</v>
      </c>
      <c r="F7" t="b">
        <f t="shared" si="2"/>
        <v>0</v>
      </c>
    </row>
    <row r="8" spans="1:15" x14ac:dyDescent="0.25">
      <c r="A8">
        <v>100</v>
      </c>
      <c r="B8">
        <v>8</v>
      </c>
      <c r="C8">
        <v>0</v>
      </c>
      <c r="D8">
        <f t="shared" si="0"/>
        <v>12</v>
      </c>
      <c r="E8">
        <f t="shared" si="1"/>
        <v>4</v>
      </c>
      <c r="F8" t="b">
        <f t="shared" si="2"/>
        <v>0</v>
      </c>
    </row>
    <row r="9" spans="1:15" x14ac:dyDescent="0.25">
      <c r="A9">
        <v>101</v>
      </c>
      <c r="B9">
        <v>8</v>
      </c>
      <c r="C9">
        <v>0</v>
      </c>
      <c r="D9">
        <f t="shared" si="0"/>
        <v>12</v>
      </c>
      <c r="E9">
        <f t="shared" si="1"/>
        <v>5</v>
      </c>
      <c r="F9" t="b">
        <f t="shared" si="2"/>
        <v>0</v>
      </c>
    </row>
    <row r="10" spans="1:15" x14ac:dyDescent="0.25">
      <c r="A10">
        <v>20</v>
      </c>
      <c r="B10">
        <v>8</v>
      </c>
      <c r="C10">
        <v>0</v>
      </c>
      <c r="D10">
        <f t="shared" si="0"/>
        <v>2</v>
      </c>
      <c r="E10">
        <f t="shared" si="1"/>
        <v>4</v>
      </c>
      <c r="F10" t="b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1343-92D4-4379-AE09-020F760F2FB1}">
  <dimension ref="A1:H12"/>
  <sheetViews>
    <sheetView tabSelected="1" workbookViewId="0">
      <selection activeCell="D27" sqref="D27"/>
    </sheetView>
  </sheetViews>
  <sheetFormatPr defaultRowHeight="15" x14ac:dyDescent="0.25"/>
  <cols>
    <col min="1" max="1" width="24.7109375" customWidth="1"/>
    <col min="2" max="2" width="6.42578125" bestFit="1" customWidth="1"/>
    <col min="3" max="3" width="14.85546875" customWidth="1"/>
    <col min="4" max="6" width="13.5703125" customWidth="1"/>
    <col min="7" max="7" width="15.7109375" style="10" customWidth="1"/>
    <col min="8" max="8" width="14.85546875" style="10" customWidth="1"/>
  </cols>
  <sheetData>
    <row r="1" spans="1:8" ht="32.25" thickBot="1" x14ac:dyDescent="0.3">
      <c r="A1" s="1" t="s">
        <v>21</v>
      </c>
      <c r="B1" s="2" t="s">
        <v>22</v>
      </c>
      <c r="C1" s="2" t="s">
        <v>23</v>
      </c>
      <c r="D1" s="2" t="s">
        <v>24</v>
      </c>
      <c r="E1" s="2" t="s">
        <v>40</v>
      </c>
      <c r="F1" s="2" t="s">
        <v>41</v>
      </c>
      <c r="G1" s="7" t="s">
        <v>25</v>
      </c>
      <c r="H1" s="7" t="s">
        <v>26</v>
      </c>
    </row>
    <row r="2" spans="1:8" ht="16.5" thickBot="1" x14ac:dyDescent="0.3">
      <c r="A2" s="3" t="s">
        <v>16</v>
      </c>
      <c r="B2" s="4" t="s">
        <v>27</v>
      </c>
      <c r="C2" s="4">
        <v>60</v>
      </c>
      <c r="D2" s="4">
        <v>81</v>
      </c>
      <c r="E2" s="4">
        <v>32</v>
      </c>
      <c r="F2" s="4">
        <v>32</v>
      </c>
      <c r="G2" s="8">
        <v>1</v>
      </c>
      <c r="H2" s="8">
        <v>1</v>
      </c>
    </row>
    <row r="3" spans="1:8" ht="16.5" thickBot="1" x14ac:dyDescent="0.3">
      <c r="A3" s="5" t="s">
        <v>20</v>
      </c>
      <c r="B3" s="6" t="s">
        <v>27</v>
      </c>
      <c r="C3" s="6">
        <v>60</v>
      </c>
      <c r="D3" s="6">
        <v>81</v>
      </c>
      <c r="E3" s="6">
        <v>34</v>
      </c>
      <c r="F3" s="6">
        <v>22</v>
      </c>
      <c r="G3" s="9">
        <f>E3/E2</f>
        <v>1.0625</v>
      </c>
      <c r="H3" s="9">
        <f>F3/F2</f>
        <v>0.6875</v>
      </c>
    </row>
    <row r="4" spans="1:8" ht="16.5" thickBot="1" x14ac:dyDescent="0.3">
      <c r="A4" s="3" t="s">
        <v>14</v>
      </c>
      <c r="B4" s="4">
        <v>16</v>
      </c>
      <c r="C4" s="4">
        <v>20</v>
      </c>
      <c r="D4" s="4">
        <v>36</v>
      </c>
      <c r="E4" s="4"/>
      <c r="F4" s="4"/>
      <c r="G4" s="9">
        <f t="shared" ref="G4:G12" si="0">$C$2/C4</f>
        <v>3</v>
      </c>
      <c r="H4" s="9">
        <f t="shared" ref="H4:H12" si="1">$D$2/D4</f>
        <v>2.25</v>
      </c>
    </row>
    <row r="5" spans="1:8" ht="16.5" thickBot="1" x14ac:dyDescent="0.3">
      <c r="A5" s="5" t="s">
        <v>28</v>
      </c>
      <c r="B5" s="6">
        <v>16</v>
      </c>
      <c r="C5" s="6">
        <v>19</v>
      </c>
      <c r="D5" s="6">
        <v>28</v>
      </c>
      <c r="E5" s="6"/>
      <c r="F5" s="6"/>
      <c r="G5" s="9">
        <f t="shared" si="0"/>
        <v>3.1578947368421053</v>
      </c>
      <c r="H5" s="9">
        <f t="shared" si="1"/>
        <v>2.8928571428571428</v>
      </c>
    </row>
    <row r="6" spans="1:8" ht="16.5" thickBot="1" x14ac:dyDescent="0.3">
      <c r="A6" s="3" t="s">
        <v>13</v>
      </c>
      <c r="B6" s="4">
        <v>16</v>
      </c>
      <c r="C6" s="4">
        <v>59</v>
      </c>
      <c r="D6" s="4">
        <v>56</v>
      </c>
      <c r="E6" s="4">
        <v>33</v>
      </c>
      <c r="F6" s="4">
        <v>17</v>
      </c>
      <c r="G6" s="9">
        <f>E6/E2</f>
        <v>1.03125</v>
      </c>
      <c r="H6" s="9">
        <f>F6/F2</f>
        <v>0.53125</v>
      </c>
    </row>
    <row r="7" spans="1:8" ht="16.5" thickBot="1" x14ac:dyDescent="0.3">
      <c r="A7" s="5" t="s">
        <v>29</v>
      </c>
      <c r="B7" s="6">
        <v>17</v>
      </c>
      <c r="C7" s="6">
        <v>21</v>
      </c>
      <c r="D7" s="6">
        <v>27</v>
      </c>
      <c r="E7" s="6"/>
      <c r="F7" s="6"/>
      <c r="G7" s="9">
        <f t="shared" si="0"/>
        <v>2.8571428571428572</v>
      </c>
      <c r="H7" s="9">
        <f t="shared" si="1"/>
        <v>3</v>
      </c>
    </row>
    <row r="8" spans="1:8" ht="16.5" thickBot="1" x14ac:dyDescent="0.3">
      <c r="A8" s="3" t="s">
        <v>30</v>
      </c>
      <c r="B8" s="4">
        <v>19</v>
      </c>
      <c r="C8" s="4">
        <v>21</v>
      </c>
      <c r="D8" s="4">
        <v>30</v>
      </c>
      <c r="E8" s="4"/>
      <c r="F8" s="4"/>
      <c r="G8" s="9">
        <f t="shared" si="0"/>
        <v>2.8571428571428572</v>
      </c>
      <c r="H8" s="9">
        <f t="shared" si="1"/>
        <v>2.7</v>
      </c>
    </row>
    <row r="9" spans="1:8" ht="16.5" thickBot="1" x14ac:dyDescent="0.3">
      <c r="A9" s="5" t="s">
        <v>31</v>
      </c>
      <c r="B9" s="6">
        <v>43</v>
      </c>
      <c r="C9" s="6">
        <v>14</v>
      </c>
      <c r="D9" s="6">
        <v>24</v>
      </c>
      <c r="E9" s="6"/>
      <c r="F9" s="6"/>
      <c r="G9" s="9">
        <f t="shared" si="0"/>
        <v>4.2857142857142856</v>
      </c>
      <c r="H9" s="9">
        <f t="shared" si="1"/>
        <v>3.375</v>
      </c>
    </row>
    <row r="10" spans="1:8" ht="16.5" thickBot="1" x14ac:dyDescent="0.3">
      <c r="A10" s="3" t="s">
        <v>15</v>
      </c>
      <c r="B10" s="4">
        <v>47</v>
      </c>
      <c r="C10" s="4">
        <v>20</v>
      </c>
      <c r="D10" s="4">
        <v>38</v>
      </c>
      <c r="E10" s="4"/>
      <c r="F10" s="4"/>
      <c r="G10" s="9">
        <f t="shared" si="0"/>
        <v>3</v>
      </c>
      <c r="H10" s="9">
        <f t="shared" si="1"/>
        <v>2.1315789473684212</v>
      </c>
    </row>
    <row r="11" spans="1:8" ht="16.5" thickBot="1" x14ac:dyDescent="0.3">
      <c r="A11" s="5" t="s">
        <v>32</v>
      </c>
      <c r="B11" s="6">
        <v>57</v>
      </c>
      <c r="C11" s="6">
        <v>22</v>
      </c>
      <c r="D11" s="6">
        <v>27</v>
      </c>
      <c r="E11" s="6"/>
      <c r="F11" s="6"/>
      <c r="G11" s="9">
        <f t="shared" si="0"/>
        <v>2.7272727272727271</v>
      </c>
      <c r="H11" s="9">
        <f t="shared" si="1"/>
        <v>3</v>
      </c>
    </row>
    <row r="12" spans="1:8" ht="16.5" thickBot="1" x14ac:dyDescent="0.3">
      <c r="A12" s="3" t="s">
        <v>33</v>
      </c>
      <c r="B12" s="4">
        <v>60</v>
      </c>
      <c r="C12" s="4">
        <v>19</v>
      </c>
      <c r="D12" s="4">
        <v>27</v>
      </c>
      <c r="E12" s="4"/>
      <c r="F12" s="4"/>
      <c r="G12" s="9">
        <f t="shared" si="0"/>
        <v>3.1578947368421053</v>
      </c>
      <c r="H12" s="9">
        <f t="shared" si="1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E2E4-D30B-4DF4-B8C7-AE9F6DFE86E4}">
  <dimension ref="A1:F2"/>
  <sheetViews>
    <sheetView workbookViewId="0">
      <selection activeCell="F3" sqref="F3"/>
    </sheetView>
  </sheetViews>
  <sheetFormatPr defaultRowHeight="15" x14ac:dyDescent="0.25"/>
  <cols>
    <col min="4" max="4" width="14.7109375" bestFit="1" customWidth="1"/>
    <col min="5" max="5" width="15.2851562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100</v>
      </c>
      <c r="B2">
        <v>60</v>
      </c>
      <c r="C2">
        <f>GCD(A2,B2)</f>
        <v>20</v>
      </c>
      <c r="D2">
        <f>A2/C2</f>
        <v>5</v>
      </c>
      <c r="E2">
        <f>B2/C2</f>
        <v>3</v>
      </c>
      <c r="F2">
        <f>D2*E2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 mailles par tuiles</vt:lpstr>
      <vt:lpstr>compatibilité des motifs</vt:lpstr>
      <vt:lpstr>CoefficientsMotif</vt:lpstr>
      <vt:lpstr>Couverture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Lagacé Evlyn</dc:creator>
  <cp:lastModifiedBy>Lagacé, Evlyn</cp:lastModifiedBy>
  <dcterms:created xsi:type="dcterms:W3CDTF">2026-03-19T12:43:52Z</dcterms:created>
  <dcterms:modified xsi:type="dcterms:W3CDTF">2026-09-15T22:57:41Z</dcterms:modified>
</cp:coreProperties>
</file>